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8\Desktop\Заявка на закупку зз-2024-11-38832 от 08.11.2024 Сумма = 2 971 768.61\ЭА\"/>
    </mc:Choice>
  </mc:AlternateContent>
  <bookViews>
    <workbookView xWindow="-120" yWindow="-120" windowWidth="29040" windowHeight="15840" tabRatio="0"/>
  </bookViews>
  <sheets>
    <sheet name="TDSheet" sheetId="1" r:id="rId1"/>
  </sheets>
  <definedNames>
    <definedName name="_xlnm.Print_Titles" localSheetId="0">TDSheet!$16:$18</definedName>
    <definedName name="_xlnm.Print_Area" localSheetId="0">TDSheet!$A$1:$L$24</definedName>
  </definedNames>
  <calcPr calcId="152511" refMode="R1C1"/>
</workbook>
</file>

<file path=xl/calcChain.xml><?xml version="1.0" encoding="utf-8"?>
<calcChain xmlns="http://schemas.openxmlformats.org/spreadsheetml/2006/main">
  <c r="G19" i="1" l="1"/>
  <c r="G20" i="1"/>
  <c r="F19" i="1"/>
  <c r="K19" i="1" s="1"/>
  <c r="L19" i="1" s="1"/>
  <c r="F20" i="1"/>
  <c r="K20" i="1" s="1"/>
  <c r="L20" i="1" s="1"/>
  <c r="H20" i="1" l="1"/>
  <c r="H19" i="1"/>
  <c r="L21" i="1" l="1"/>
</calcChain>
</file>

<file path=xl/comments1.xml><?xml version="1.0" encoding="utf-8"?>
<comments xmlns="http://schemas.openxmlformats.org/spreadsheetml/2006/main">
  <authors>
    <author>Запорожец Виктория Константиновна</author>
  </authors>
  <commentList>
    <comment ref="C16" authorId="0" shapeId="0">
      <text>
        <r>
          <rPr>
            <b/>
            <sz val="9"/>
            <color indexed="81"/>
            <rFont val="Tahoma"/>
            <family val="2"/>
            <charset val="204"/>
          </rPr>
          <t>Запорожец Виктория Константиновна:</t>
        </r>
        <r>
          <rPr>
            <sz val="9"/>
            <color indexed="81"/>
            <rFont val="Tahoma"/>
            <family val="2"/>
            <charset val="204"/>
          </rPr>
          <t xml:space="preserve">
изменить текст</t>
        </r>
      </text>
    </comment>
    <comment ref="F16" authorId="0" shapeId="0">
      <text>
        <r>
          <rPr>
            <b/>
            <sz val="9"/>
            <color indexed="81"/>
            <rFont val="Tahoma"/>
            <family val="2"/>
            <charset val="204"/>
          </rPr>
          <t>Запорожец Виктория Константиновна:</t>
        </r>
        <r>
          <rPr>
            <sz val="9"/>
            <color indexed="81"/>
            <rFont val="Tahoma"/>
            <family val="2"/>
            <charset val="204"/>
          </rPr>
          <t xml:space="preserve">
изменить текст, формула расчета остается</t>
        </r>
      </text>
    </comment>
    <comment ref="G16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Запорожец Виктория Константиновна: </t>
        </r>
        <r>
          <rPr>
            <sz val="9"/>
            <color indexed="81"/>
            <rFont val="Tahoma"/>
            <family val="2"/>
            <charset val="204"/>
          </rPr>
          <t xml:space="preserve">
изменить текст, формула расчета остается (ранее была колонка 10)</t>
        </r>
      </text>
    </comment>
    <comment ref="H16" authorId="0" shapeId="0">
      <text>
        <r>
          <rPr>
            <b/>
            <sz val="9"/>
            <color indexed="81"/>
            <rFont val="Tahoma"/>
            <family val="2"/>
            <charset val="204"/>
          </rPr>
          <t>Запорожец Виктория Константиновна:</t>
        </r>
        <r>
          <rPr>
            <sz val="9"/>
            <color indexed="81"/>
            <rFont val="Tahoma"/>
            <family val="2"/>
            <charset val="204"/>
          </rPr>
          <t xml:space="preserve">
изменить текст формула расчета остается, (ранее была колонка 11)</t>
        </r>
      </text>
    </comment>
    <comment ref="J16" authorId="0" shapeId="0">
      <text>
        <r>
          <rPr>
            <b/>
            <sz val="9"/>
            <color indexed="81"/>
            <rFont val="Tahoma"/>
            <family val="2"/>
            <charset val="204"/>
          </rPr>
          <t>Запорожец Виктория Константиновна:</t>
        </r>
        <r>
          <rPr>
            <sz val="9"/>
            <color indexed="81"/>
            <rFont val="Tahoma"/>
            <family val="2"/>
            <charset val="204"/>
          </rPr>
          <t xml:space="preserve">
НДС будет разный, необходима возможность устанавливать в ручную, в зависимости от номенклатуры</t>
        </r>
      </text>
    </comment>
    <comment ref="L16" authorId="0" shapeId="0">
      <text>
        <r>
          <rPr>
            <b/>
            <sz val="9"/>
            <color indexed="81"/>
            <rFont val="Tahoma"/>
            <family val="2"/>
            <charset val="204"/>
          </rPr>
          <t>Запорожец Виктория Константиновна:</t>
        </r>
        <r>
          <rPr>
            <sz val="9"/>
            <color indexed="81"/>
            <rFont val="Tahoma"/>
            <family val="2"/>
            <charset val="204"/>
          </rPr>
          <t xml:space="preserve">
ранее колонка 9, изменить текст и формулу расчета</t>
        </r>
      </text>
    </comment>
  </commentList>
</comments>
</file>

<file path=xl/sharedStrings.xml><?xml version="1.0" encoding="utf-8"?>
<sst xmlns="http://schemas.openxmlformats.org/spreadsheetml/2006/main" count="32" uniqueCount="30">
  <si>
    <t>ОБОСНОВАНИЕ НАЧАЛЬНОЙ (МАКСИМАЛЬНОЙ) ЦЕНЫ КОНТРАКТА</t>
  </si>
  <si>
    <t>1. Цель:</t>
  </si>
  <si>
    <t>2. Основные характеристики объекта закупки:</t>
  </si>
  <si>
    <t>3. Используемый метод определения Н(М)ЦК:</t>
  </si>
  <si>
    <t>4. Способ изучения рынка</t>
  </si>
  <si>
    <t>Сбор коммерческих предложений от поставщиков (подрядчиков, исполнителей), осуществляющих поставки соответствующих товаров  (выполнения работ, оказания услуг), планируемых к закупке, по запросам заказчика.</t>
  </si>
  <si>
    <t>5. Расчет Н(М)ЦК:</t>
  </si>
  <si>
    <t>№ п/п</t>
  </si>
  <si>
    <t>Наименование закупаемых товаров, работ, услуг</t>
  </si>
  <si>
    <t>Среднее квадратичное отклонение (σ):</t>
  </si>
  <si>
    <t>Коэффициент  вариации цен V (%) (не должен превышать 33%), v =σ/(&lt;ц&gt;)*100</t>
  </si>
  <si>
    <t xml:space="preserve">Метода сопоставимых рыночных цен (анализа рынка) в соответствии с частями 2 - 6 статьи 22 Закона о контрактной системе (п.п.а п.9 Приказ Минздрава России от 15.05.2020 N 450н 
"Об утверждении порядка определения начальной (максимальной) цены контракта, цены контракта, заключаемого с единственным поставщиком (подрядчиком, исполнителем), и начальной цены единицы товара, работы, услуги при осуществлении закупок медицинских изделий") </t>
  </si>
  <si>
    <t xml:space="preserve">Средневзвешенное значение 
</t>
  </si>
  <si>
    <t>ЦЕМ (цена медицинского изделия, без учета НДС) , рублей</t>
  </si>
  <si>
    <t>Налог на добавленную стоимость, %</t>
  </si>
  <si>
    <t>Цена единицы с учетом НДС, руб.</t>
  </si>
  <si>
    <t>НЦЕ определена  как средневзвешенное значение собранных заказчиком цен без учета НДС</t>
  </si>
  <si>
    <t>Коммерческое предложение №1</t>
  </si>
  <si>
    <t xml:space="preserve">Коммерческое предложение №2 </t>
  </si>
  <si>
    <t>Коммерческое предложение №3</t>
  </si>
  <si>
    <t>Приложение №2 к ивещению</t>
  </si>
  <si>
    <t xml:space="preserve">Начальная сумма цен указанных единиц, рублей, определяемая методом сопоставимых рыночных цен (анализа рынка);
НЦЕi - начальная цена единицы i-й позиции медицинского изделия, определяемая в соответствии с настоящим порядком (по применимости);
НДС - налог на добавленную стоимость (если применимо для закупаемого медицинского изделия);
Vi - количество (объем) i-й позиции закупаемого медицинского изделия (по применимости);
</t>
  </si>
  <si>
    <t>Единица измерения</t>
  </si>
  <si>
    <t>шт</t>
  </si>
  <si>
    <t>Начальная сумма цен указанных единиц, рублей</t>
  </si>
  <si>
    <t>на поставку медицинских изделий для для отделения анестезиологии-реанимации</t>
  </si>
  <si>
    <t xml:space="preserve">Определение Н(М)ЦК  на поставку медицинских изделий для для отделения анестезиологии-реанимации </t>
  </si>
  <si>
    <t>Насос инфузионный эластомерный</t>
  </si>
  <si>
    <t>Максимальное значение цены контракта:  2 971 768 ,61 рублей</t>
  </si>
  <si>
    <t>Описание объекта закупки указано в ооз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</si>
</sst>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\ _р_._-;\-* #,##0.00\ _р_._-;_-* &quot;-&quot;??\ _р_._-;_-@_-"/>
    <numFmt numFmtId="165" formatCode="0&quot;=(3+4+5)/3&quot;"/>
    <numFmt numFmtId="166" formatCode="0.00&quot;%&quot;"/>
  </numFmts>
  <fonts count="21" x14ac:knownFonts="1">
    <font>
      <sz val="8"/>
      <name val="Arial"/>
    </font>
    <font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  <font>
      <sz val="10"/>
      <name val="Times New Roman"/>
      <family val="2"/>
    </font>
    <font>
      <sz val="10"/>
      <color rgb="FF000000"/>
      <name val="Times New Roman"/>
      <family val="2"/>
    </font>
    <font>
      <i/>
      <sz val="10"/>
      <name val="Times New Roman"/>
      <family val="2"/>
    </font>
    <font>
      <b/>
      <sz val="10"/>
      <name val="Times New Roman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Arial"/>
      <family val="2"/>
      <charset val="204"/>
    </font>
    <font>
      <sz val="14"/>
      <name val="Times New Roman"/>
      <family val="1"/>
      <charset val="204"/>
    </font>
    <font>
      <sz val="14"/>
      <name val="Times New Roman"/>
      <family val="2"/>
    </font>
    <font>
      <b/>
      <sz val="14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14"/>
      <name val="Times New Roman"/>
      <family val="2"/>
    </font>
    <font>
      <i/>
      <sz val="11"/>
      <name val="Times New Roman"/>
      <family val="2"/>
    </font>
    <font>
      <sz val="14"/>
      <color theme="1"/>
      <name val="Times New Roman"/>
      <family val="1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13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14" fillId="2" borderId="6" xfId="0" applyFont="1" applyFill="1" applyBorder="1" applyAlignment="1">
      <alignment horizontal="center" vertical="top" wrapText="1"/>
    </xf>
    <xf numFmtId="1" fontId="7" fillId="2" borderId="6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 wrapText="1"/>
    </xf>
    <xf numFmtId="4" fontId="11" fillId="2" borderId="6" xfId="0" applyNumberFormat="1" applyFont="1" applyFill="1" applyBorder="1" applyAlignment="1">
      <alignment horizontal="center" vertical="center"/>
    </xf>
    <xf numFmtId="166" fontId="12" fillId="2" borderId="6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right" vertical="center"/>
    </xf>
    <xf numFmtId="0" fontId="0" fillId="2" borderId="6" xfId="0" applyFill="1" applyBorder="1" applyAlignment="1">
      <alignment horizontal="left" vertical="center"/>
    </xf>
    <xf numFmtId="164" fontId="13" fillId="2" borderId="6" xfId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  <xf numFmtId="164" fontId="11" fillId="2" borderId="6" xfId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left"/>
    </xf>
    <xf numFmtId="0" fontId="0" fillId="2" borderId="0" xfId="0" applyFill="1"/>
    <xf numFmtId="0" fontId="4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wrapText="1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43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43" fontId="10" fillId="2" borderId="0" xfId="0" applyNumberFormat="1" applyFont="1" applyFill="1"/>
    <xf numFmtId="43" fontId="18" fillId="2" borderId="0" xfId="0" applyNumberFormat="1" applyFont="1" applyFill="1" applyAlignment="1">
      <alignment vertical="center"/>
    </xf>
    <xf numFmtId="0" fontId="0" fillId="0" borderId="0" xfId="0" applyAlignment="1">
      <alignment horizontal="left"/>
    </xf>
    <xf numFmtId="4" fontId="19" fillId="2" borderId="0" xfId="0" applyNumberFormat="1" applyFont="1" applyFill="1"/>
    <xf numFmtId="4" fontId="17" fillId="2" borderId="6" xfId="0" applyNumberFormat="1" applyFont="1" applyFill="1" applyBorder="1" applyAlignment="1">
      <alignment horizontal="center" vertical="center" wrapText="1"/>
    </xf>
    <xf numFmtId="4" fontId="11" fillId="2" borderId="6" xfId="1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wrapText="1"/>
    </xf>
    <xf numFmtId="4" fontId="0" fillId="2" borderId="0" xfId="0" applyNumberFormat="1" applyFill="1" applyAlignment="1">
      <alignment vertical="center"/>
    </xf>
    <xf numFmtId="43" fontId="0" fillId="2" borderId="0" xfId="0" applyNumberFormat="1" applyFill="1"/>
    <xf numFmtId="4" fontId="0" fillId="2" borderId="0" xfId="0" applyNumberFormat="1" applyFill="1"/>
    <xf numFmtId="0" fontId="16" fillId="3" borderId="9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13" fillId="2" borderId="0" xfId="0" applyFont="1" applyFill="1"/>
    <xf numFmtId="0" fontId="0" fillId="2" borderId="0" xfId="0" applyFill="1"/>
    <xf numFmtId="0" fontId="15" fillId="2" borderId="6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16</xdr:row>
      <xdr:rowOff>1409700</xdr:rowOff>
    </xdr:from>
    <xdr:to>
      <xdr:col>5</xdr:col>
      <xdr:colOff>1155701</xdr:colOff>
      <xdr:row>16</xdr:row>
      <xdr:rowOff>1704975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5743575"/>
          <a:ext cx="984251" cy="295275"/>
        </a:xfrm>
        <a:prstGeom prst="rect">
          <a:avLst/>
        </a:prstGeom>
      </xdr:spPr>
    </xdr:pic>
    <xdr:clientData/>
  </xdr:twoCellAnchor>
  <xdr:twoCellAnchor editAs="oneCell">
    <xdr:from>
      <xdr:col>11</xdr:col>
      <xdr:colOff>694863</xdr:colOff>
      <xdr:row>16</xdr:row>
      <xdr:rowOff>1974056</xdr:rowOff>
    </xdr:from>
    <xdr:to>
      <xdr:col>11</xdr:col>
      <xdr:colOff>2238375</xdr:colOff>
      <xdr:row>16</xdr:row>
      <xdr:rowOff>2242457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04082" y="6355556"/>
          <a:ext cx="1543512" cy="268401"/>
        </a:xfrm>
        <a:prstGeom prst="rect">
          <a:avLst/>
        </a:prstGeom>
      </xdr:spPr>
    </xdr:pic>
    <xdr:clientData/>
  </xdr:twoCellAnchor>
  <xdr:twoCellAnchor editAs="oneCell">
    <xdr:from>
      <xdr:col>6</xdr:col>
      <xdr:colOff>141017</xdr:colOff>
      <xdr:row>16</xdr:row>
      <xdr:rowOff>1276350</xdr:rowOff>
    </xdr:from>
    <xdr:to>
      <xdr:col>6</xdr:col>
      <xdr:colOff>1554432</xdr:colOff>
      <xdr:row>16</xdr:row>
      <xdr:rowOff>1771649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2492" y="5610225"/>
          <a:ext cx="1413415" cy="495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R26"/>
  <sheetViews>
    <sheetView tabSelected="1" view="pageBreakPreview" zoomScale="80" zoomScaleNormal="80" zoomScaleSheetLayoutView="80" workbookViewId="0">
      <selection activeCell="J16" sqref="J16:J17"/>
    </sheetView>
  </sheetViews>
  <sheetFormatPr defaultColWidth="10.5" defaultRowHeight="11.45" customHeight="1" x14ac:dyDescent="0.2"/>
  <cols>
    <col min="1" max="1" width="6.83203125" style="1" customWidth="1"/>
    <col min="2" max="2" width="63.5" style="1" customWidth="1"/>
    <col min="3" max="3" width="22.6640625" style="1" customWidth="1"/>
    <col min="4" max="4" width="23.83203125" style="1" customWidth="1"/>
    <col min="5" max="5" width="24.33203125" style="1" customWidth="1"/>
    <col min="6" max="6" width="22.5" style="1" customWidth="1"/>
    <col min="7" max="7" width="30.1640625" style="1" customWidth="1"/>
    <col min="8" max="9" width="19.83203125" style="1" customWidth="1"/>
    <col min="10" max="10" width="24" style="1" customWidth="1"/>
    <col min="11" max="11" width="27.6640625" style="1" bestFit="1" customWidth="1"/>
    <col min="12" max="12" width="51.33203125" style="1" customWidth="1"/>
    <col min="13" max="13" width="13.83203125" customWidth="1"/>
    <col min="14" max="14" width="23.33203125" customWidth="1"/>
    <col min="15" max="15" width="16" customWidth="1"/>
    <col min="16" max="16" width="16.33203125" customWidth="1"/>
    <col min="17" max="17" width="14.1640625" bestFit="1" customWidth="1"/>
    <col min="18" max="18" width="13.6640625" customWidth="1"/>
  </cols>
  <sheetData>
    <row r="1" spans="1:12" ht="21" customHeight="1" x14ac:dyDescent="0.25">
      <c r="J1" s="2" t="s">
        <v>20</v>
      </c>
    </row>
    <row r="2" spans="1:12" ht="15.95" customHeight="1" x14ac:dyDescent="0.2"/>
    <row r="6" spans="1:12" ht="15.95" customHeight="1" x14ac:dyDescent="0.25">
      <c r="A6" s="45" t="s">
        <v>0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</row>
    <row r="7" spans="1:12" ht="15.95" customHeight="1" x14ac:dyDescent="0.25">
      <c r="A7" s="46" t="s">
        <v>25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ht="11.45" customHeight="1" x14ac:dyDescent="0.2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12" ht="11.45" customHeight="1" x14ac:dyDescent="0.2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12" s="17" customFormat="1" ht="11.45" customHeight="1" x14ac:dyDescent="0.2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spans="1:12" s="1" customFormat="1" ht="21.95" customHeight="1" x14ac:dyDescent="0.2">
      <c r="A11" s="47" t="s">
        <v>1</v>
      </c>
      <c r="B11" s="47"/>
      <c r="C11" s="48" t="s">
        <v>26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s="1" customFormat="1" ht="21" customHeight="1" x14ac:dyDescent="0.2">
      <c r="A12" s="37" t="s">
        <v>2</v>
      </c>
      <c r="B12" s="37"/>
      <c r="C12" s="49" t="s">
        <v>29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s="1" customFormat="1" ht="60" customHeight="1" x14ac:dyDescent="0.2">
      <c r="A13" s="37" t="s">
        <v>3</v>
      </c>
      <c r="B13" s="37"/>
      <c r="C13" s="39" t="s">
        <v>11</v>
      </c>
      <c r="D13" s="40"/>
      <c r="E13" s="40"/>
      <c r="F13" s="40"/>
      <c r="G13" s="40"/>
      <c r="H13" s="40"/>
      <c r="I13" s="40"/>
      <c r="J13" s="40"/>
      <c r="K13" s="40"/>
      <c r="L13" s="40"/>
    </row>
    <row r="14" spans="1:12" s="1" customFormat="1" ht="35.1" customHeight="1" x14ac:dyDescent="0.2">
      <c r="A14" s="37" t="s">
        <v>4</v>
      </c>
      <c r="B14" s="37"/>
      <c r="C14" s="41" t="s">
        <v>5</v>
      </c>
      <c r="D14" s="42"/>
      <c r="E14" s="42"/>
      <c r="F14" s="42"/>
      <c r="G14" s="42"/>
      <c r="H14" s="42"/>
      <c r="I14" s="42"/>
      <c r="J14" s="42"/>
      <c r="K14" s="42"/>
      <c r="L14" s="42"/>
    </row>
    <row r="15" spans="1:12" s="1" customFormat="1" ht="26.1" customHeight="1" x14ac:dyDescent="0.2">
      <c r="A15" s="38" t="s">
        <v>6</v>
      </c>
      <c r="B15" s="38"/>
      <c r="C15" s="43" t="s">
        <v>16</v>
      </c>
      <c r="D15" s="44"/>
      <c r="E15" s="44"/>
      <c r="F15" s="44"/>
      <c r="G15" s="44"/>
      <c r="H15" s="44"/>
      <c r="I15" s="44"/>
      <c r="J15" s="44"/>
      <c r="K15" s="44"/>
      <c r="L15" s="44"/>
    </row>
    <row r="16" spans="1:12" s="17" customFormat="1" ht="47.25" customHeight="1" x14ac:dyDescent="0.2">
      <c r="A16" s="36" t="s">
        <v>7</v>
      </c>
      <c r="B16" s="36" t="s">
        <v>8</v>
      </c>
      <c r="C16" s="36" t="s">
        <v>13</v>
      </c>
      <c r="D16" s="36"/>
      <c r="E16" s="36"/>
      <c r="F16" s="36" t="s">
        <v>12</v>
      </c>
      <c r="G16" s="36" t="s">
        <v>9</v>
      </c>
      <c r="H16" s="36" t="s">
        <v>10</v>
      </c>
      <c r="I16" s="36" t="s">
        <v>22</v>
      </c>
      <c r="J16" s="36" t="s">
        <v>14</v>
      </c>
      <c r="K16" s="36" t="s">
        <v>15</v>
      </c>
      <c r="L16" s="34" t="s">
        <v>21</v>
      </c>
    </row>
    <row r="17" spans="1:18" s="19" customFormat="1" ht="177.75" customHeight="1" x14ac:dyDescent="0.2">
      <c r="A17" s="36"/>
      <c r="B17" s="36"/>
      <c r="C17" s="3" t="s">
        <v>17</v>
      </c>
      <c r="D17" s="3" t="s">
        <v>18</v>
      </c>
      <c r="E17" s="3" t="s">
        <v>19</v>
      </c>
      <c r="F17" s="36"/>
      <c r="G17" s="36"/>
      <c r="H17" s="36"/>
      <c r="I17" s="36"/>
      <c r="J17" s="36"/>
      <c r="K17" s="36"/>
      <c r="L17" s="35"/>
    </row>
    <row r="18" spans="1:18" s="20" customFormat="1" ht="24.75" customHeight="1" x14ac:dyDescent="0.2">
      <c r="A18" s="4">
        <v>1</v>
      </c>
      <c r="B18" s="14">
        <v>2</v>
      </c>
      <c r="C18" s="14">
        <v>3</v>
      </c>
      <c r="D18" s="4">
        <v>4</v>
      </c>
      <c r="E18" s="4">
        <v>5</v>
      </c>
      <c r="F18" s="5">
        <v>6</v>
      </c>
      <c r="G18" s="4">
        <v>7</v>
      </c>
      <c r="H18" s="4">
        <v>8</v>
      </c>
      <c r="I18" s="4">
        <v>9</v>
      </c>
      <c r="J18" s="4">
        <v>10</v>
      </c>
      <c r="K18" s="4">
        <v>11</v>
      </c>
      <c r="L18" s="6">
        <v>12</v>
      </c>
    </row>
    <row r="19" spans="1:18" s="21" customFormat="1" ht="18.75" x14ac:dyDescent="0.25">
      <c r="A19" s="7">
        <v>1</v>
      </c>
      <c r="B19" s="30" t="s">
        <v>27</v>
      </c>
      <c r="C19" s="28">
        <v>11040.4</v>
      </c>
      <c r="D19" s="29">
        <v>11196.46</v>
      </c>
      <c r="E19" s="29">
        <v>11000</v>
      </c>
      <c r="F19" s="15">
        <f t="shared" ref="F19:F20" si="0">ROUND((C19+D19+E19)/3,2)</f>
        <v>11078.95</v>
      </c>
      <c r="G19" s="8">
        <f t="shared" ref="G19:G20" si="1">STDEV(C19,D19,E19)</f>
        <v>103.74922907344056</v>
      </c>
      <c r="H19" s="9">
        <f t="shared" ref="H19" si="2">G19/F19*100</f>
        <v>0.93645362668340004</v>
      </c>
      <c r="I19" s="9" t="s">
        <v>23</v>
      </c>
      <c r="J19" s="10">
        <v>0</v>
      </c>
      <c r="K19" s="8">
        <f t="shared" ref="K19:K20" si="3">F19</f>
        <v>11078.95</v>
      </c>
      <c r="L19" s="8">
        <f t="shared" ref="L19:L20" si="4">K19</f>
        <v>11078.95</v>
      </c>
      <c r="M19" s="18"/>
      <c r="N19" s="24"/>
      <c r="O19" s="27"/>
      <c r="P19" s="24"/>
      <c r="Q19" s="24"/>
      <c r="R19" s="24"/>
    </row>
    <row r="20" spans="1:18" s="21" customFormat="1" ht="18.75" x14ac:dyDescent="0.25">
      <c r="A20" s="7">
        <v>2</v>
      </c>
      <c r="B20" s="30" t="s">
        <v>27</v>
      </c>
      <c r="C20" s="28">
        <v>12049.6</v>
      </c>
      <c r="D20" s="29">
        <v>12106.28</v>
      </c>
      <c r="E20" s="29">
        <v>12000</v>
      </c>
      <c r="F20" s="15">
        <f t="shared" si="0"/>
        <v>12051.96</v>
      </c>
      <c r="G20" s="8">
        <f t="shared" si="1"/>
        <v>53.179289201718696</v>
      </c>
      <c r="H20" s="9">
        <f t="shared" ref="H20" si="5">G20/F20*100</f>
        <v>0.44125013028352811</v>
      </c>
      <c r="I20" s="9" t="s">
        <v>23</v>
      </c>
      <c r="J20" s="10">
        <v>0</v>
      </c>
      <c r="K20" s="8">
        <f t="shared" si="3"/>
        <v>12051.96</v>
      </c>
      <c r="L20" s="8">
        <f t="shared" si="4"/>
        <v>12051.96</v>
      </c>
      <c r="M20" s="18"/>
      <c r="N20" s="24"/>
      <c r="O20" s="27"/>
      <c r="P20" s="24"/>
      <c r="R20" s="24"/>
    </row>
    <row r="21" spans="1:18" s="23" customFormat="1" ht="38.25" customHeight="1" x14ac:dyDescent="0.2">
      <c r="A21" s="52" t="s">
        <v>24</v>
      </c>
      <c r="B21" s="53"/>
      <c r="C21" s="53"/>
      <c r="D21" s="52"/>
      <c r="E21" s="52"/>
      <c r="F21" s="52"/>
      <c r="G21" s="11"/>
      <c r="H21" s="11"/>
      <c r="I21" s="11"/>
      <c r="J21" s="12"/>
      <c r="K21" s="12"/>
      <c r="L21" s="13">
        <f>SUM(L19:L20)</f>
        <v>23130.91</v>
      </c>
      <c r="M21" s="22"/>
      <c r="N21" s="25"/>
      <c r="O21" s="31"/>
      <c r="P21" s="22"/>
      <c r="Q21" s="22"/>
      <c r="R21" s="22"/>
    </row>
    <row r="22" spans="1:18" s="17" customFormat="1" ht="11.4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8" s="17" customFormat="1" ht="18.75" x14ac:dyDescent="0.3">
      <c r="A23" s="1"/>
      <c r="B23" s="50" t="s">
        <v>28</v>
      </c>
      <c r="C23" s="50"/>
      <c r="D23" s="50"/>
      <c r="E23" s="1"/>
      <c r="F23" s="1"/>
      <c r="G23" s="1"/>
      <c r="H23" s="1"/>
      <c r="I23" s="1"/>
      <c r="J23" s="1"/>
      <c r="K23" s="1"/>
      <c r="L23" s="1"/>
      <c r="O23" s="32"/>
      <c r="Q23" s="33"/>
    </row>
    <row r="24" spans="1:18" s="17" customFormat="1" ht="11.25" x14ac:dyDescent="0.2">
      <c r="A24" s="1"/>
      <c r="B24" s="51"/>
      <c r="C24" s="51"/>
      <c r="D24" s="51"/>
      <c r="E24" s="1"/>
      <c r="F24" s="1"/>
      <c r="G24" s="1"/>
      <c r="H24" s="1"/>
      <c r="I24" s="1"/>
      <c r="J24" s="1"/>
      <c r="K24" s="1"/>
      <c r="L24" s="1"/>
    </row>
    <row r="25" spans="1:18" ht="18.75" x14ac:dyDescent="0.3">
      <c r="B25" s="50"/>
      <c r="C25" s="50"/>
      <c r="D25" s="50"/>
    </row>
    <row r="26" spans="1:18" ht="11.45" customHeight="1" x14ac:dyDescent="0.2">
      <c r="L26" s="16"/>
    </row>
  </sheetData>
  <mergeCells count="26">
    <mergeCell ref="B23:D23"/>
    <mergeCell ref="B24:D24"/>
    <mergeCell ref="B25:D25"/>
    <mergeCell ref="J16:J17"/>
    <mergeCell ref="K16:K17"/>
    <mergeCell ref="A21:F21"/>
    <mergeCell ref="A16:A17"/>
    <mergeCell ref="B16:B17"/>
    <mergeCell ref="C16:E16"/>
    <mergeCell ref="F16:F17"/>
    <mergeCell ref="I16:I17"/>
    <mergeCell ref="A6:L6"/>
    <mergeCell ref="A7:L7"/>
    <mergeCell ref="A11:B11"/>
    <mergeCell ref="C11:L11"/>
    <mergeCell ref="A12:B12"/>
    <mergeCell ref="C12:L12"/>
    <mergeCell ref="L16:L17"/>
    <mergeCell ref="G16:G17"/>
    <mergeCell ref="H16:H17"/>
    <mergeCell ref="A13:B13"/>
    <mergeCell ref="A14:B14"/>
    <mergeCell ref="A15:B15"/>
    <mergeCell ref="C13:L13"/>
    <mergeCell ref="C14:L14"/>
    <mergeCell ref="C15:L15"/>
  </mergeCells>
  <pageMargins left="0.19685039370078741" right="0.19685039370078741" top="0.39370078740157483" bottom="0.39370078740157483" header="0" footer="0"/>
  <pageSetup scale="40" fitToHeight="0" pageOrder="overThenDown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TDSheet</vt:lpstr>
      <vt:lpstr>TDSheet!Заголовки_для_печати</vt:lpstr>
      <vt:lpstr>TDSheet!Область_печати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Запорожец Виктория Константиновна</dc:creator>
  <cp:lastModifiedBy>Елизавета Баулина</cp:lastModifiedBy>
  <cp:lastPrinted>2024-03-18T04:06:15Z</cp:lastPrinted>
  <dcterms:created xsi:type="dcterms:W3CDTF">2020-08-26T11:15:56Z</dcterms:created>
  <dcterms:modified xsi:type="dcterms:W3CDTF">2024-11-12T10:38:30Z</dcterms:modified>
</cp:coreProperties>
</file>