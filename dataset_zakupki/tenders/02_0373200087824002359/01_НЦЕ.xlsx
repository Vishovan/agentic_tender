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540" yWindow="135" windowWidth="28800" windowHeight="12330"/>
  </bookViews>
  <sheets>
    <sheet name="НМЕ" sheetId="2" r:id="rId1"/>
  </sheets>
  <definedNames>
    <definedName name="_xlnm.Print_Area" localSheetId="0">НМЕ!$A$1:$R$28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" i="2" l="1"/>
  <c r="G20" i="2"/>
  <c r="R20" i="2"/>
  <c r="P20" i="2"/>
  <c r="N20" i="2"/>
  <c r="N18" i="2"/>
  <c r="N16" i="2"/>
  <c r="N14" i="2"/>
  <c r="N12" i="2"/>
  <c r="N10" i="2"/>
  <c r="N8" i="2"/>
  <c r="P18" i="2"/>
  <c r="P16" i="2"/>
  <c r="P14" i="2"/>
  <c r="P12" i="2"/>
  <c r="P10" i="2"/>
  <c r="P8" i="2"/>
  <c r="R18" i="2"/>
  <c r="R16" i="2"/>
  <c r="R14" i="2"/>
  <c r="R12" i="2"/>
  <c r="R10" i="2"/>
  <c r="R8" i="2"/>
  <c r="G8" i="2"/>
  <c r="G10" i="2"/>
  <c r="G12" i="2"/>
  <c r="G14" i="2"/>
  <c r="G16" i="2"/>
  <c r="G18" i="2"/>
  <c r="H18" i="2"/>
  <c r="H16" i="2"/>
  <c r="H14" i="2"/>
  <c r="H12" i="2"/>
  <c r="H10" i="2"/>
  <c r="H8" i="2"/>
  <c r="I12" i="2"/>
  <c r="Q20" i="2"/>
  <c r="O20" i="2"/>
  <c r="M14" i="2" l="1"/>
  <c r="I14" i="2"/>
  <c r="M12" i="2"/>
  <c r="M10" i="2"/>
  <c r="I10" i="2"/>
  <c r="M8" i="2"/>
  <c r="I8" i="2"/>
  <c r="I16" i="2" l="1"/>
  <c r="M18" i="2" l="1"/>
  <c r="M16" i="2"/>
  <c r="I18" i="2"/>
  <c r="M20" i="2" l="1"/>
  <c r="O23" i="2"/>
  <c r="O22" i="2"/>
</calcChain>
</file>

<file path=xl/sharedStrings.xml><?xml version="1.0" encoding="utf-8"?>
<sst xmlns="http://schemas.openxmlformats.org/spreadsheetml/2006/main" count="130" uniqueCount="51">
  <si>
    <t>Обоснование начальной цены единицы товара</t>
  </si>
  <si>
    <r>
      <rPr>
        <b/>
        <sz val="11"/>
        <color theme="1"/>
        <rFont val="Times New Roman"/>
        <family val="1"/>
        <charset val="204"/>
      </rPr>
      <t xml:space="preserve">Метод определения НЦЕ: </t>
    </r>
    <r>
      <rPr>
        <sz val="11"/>
        <color theme="1"/>
        <rFont val="Times New Roman"/>
        <family val="1"/>
        <charset val="204"/>
      </rPr>
      <t>Анализ цен содержащихся в реестре контрактов</t>
    </r>
  </si>
  <si>
    <t>№ п/п</t>
  </si>
  <si>
    <t>Наименование поставляемых товаров</t>
  </si>
  <si>
    <t>Единица измерения</t>
  </si>
  <si>
    <t>Цена единицы медицинского изделия (руб.)</t>
  </si>
  <si>
    <t>Итоговая (максимальная) цена единицы медицинского изделия по решению Заказчика (руб.)</t>
  </si>
  <si>
    <t>Различие в ценах =(Цmax*100/Цmin)-100≤25%</t>
  </si>
  <si>
    <t>Источник 2</t>
  </si>
  <si>
    <t>Источник 3</t>
  </si>
  <si>
    <t>Х</t>
  </si>
  <si>
    <t>Общая  НЦЕ, руб:</t>
  </si>
  <si>
    <t>Максимальное значение цены контракта, руб:</t>
  </si>
  <si>
    <t>Цена контракта включает в себя: все затраты, издержки и иные расходы, в том числе сопутствующие,  налоги и другие обязательные платежи.</t>
  </si>
  <si>
    <t>*Итоговая стоимость каждой позиции товара рассчитывается пропорционально коэффициенту снижения начальной (максимальной) цены, полученного в ходе проведения процедуры закупки (Письмо Министерства экономического развития Российской Федерации от 05.11.2015 г. № Д28и-331)</t>
  </si>
  <si>
    <t>Формирование начальной (максимальной) цены единицы товара осуществлялось в соответствии с Распоряжением Правительства Москвы от 16.05.2014 N 242-РП «Об утверждении Методических рекомендаций по применению методов определения начальной (максимальной) цены контракта, цены контракта, заключаемого с единственным поставщиком (подрядчиком, исполнителем), для обеспечения нужд города Москвы»</t>
  </si>
  <si>
    <t>Реестровый номер контракта
(Дата заключения)</t>
  </si>
  <si>
    <t>Цена с индексацией цен в соответствии с письмом                                
ДПР-И-20-5348/21 от 26.10.2021 года, за ед. (руб.)</t>
  </si>
  <si>
    <t xml:space="preserve">*Коэффициент показателя инфляционного измения на 2023 год равен 1,02625 согласно информационному письму ДПР-И-20-5348/21 от 26.10.2021 года </t>
  </si>
  <si>
    <t xml:space="preserve">*Коэффициент показателя инфляционного измения на 2024 год равен 1,02625 согласно информационному письму ДПР-И-20-5348/21 от 26.10.2021 года </t>
  </si>
  <si>
    <t xml:space="preserve">*Коэффициент инфляции 2023 года в размере 1/2 отчета ИПЦ равен 1,0175 согласно информационному письму ДПР-И-20-5348/21 от 26.10.2021 года </t>
  </si>
  <si>
    <t>Должность</t>
  </si>
  <si>
    <t>ФИО</t>
  </si>
  <si>
    <t>Сумма</t>
  </si>
  <si>
    <t>ИТОГО_2024</t>
  </si>
  <si>
    <t>ИТОГО_2025</t>
  </si>
  <si>
    <t>Количество общее</t>
  </si>
  <si>
    <t>Количество 2024</t>
  </si>
  <si>
    <t>Сумма 2024</t>
  </si>
  <si>
    <t>Количество 2025</t>
  </si>
  <si>
    <t>Сумма 2025</t>
  </si>
  <si>
    <t>% отклонения min цены к рынку</t>
  </si>
  <si>
    <t>Источник 1</t>
  </si>
  <si>
    <t>цена рынок</t>
  </si>
  <si>
    <t>Штука</t>
  </si>
  <si>
    <t>Способ определения поставщика (исполнителя, подрядчика): 44- ФЗ Электронный аукцион</t>
  </si>
  <si>
    <t>на поставку расходного материала "Насос инфузионный эластомерный"</t>
  </si>
  <si>
    <t>Насос инфузионный эластомерный</t>
  </si>
  <si>
    <t>№ 2771609955424000753 от 27.04.2024</t>
  </si>
  <si>
    <t>№ 2771609955423001313 от 10.11.2023</t>
  </si>
  <si>
    <t>№ 3504200962123000659 от 25.12.2023</t>
  </si>
  <si>
    <t>№ 0372100048824000695 от 10.06.2024</t>
  </si>
  <si>
    <t>КП № 13 от 01.11.2024</t>
  </si>
  <si>
    <t>№ 2771609955424000034 от 09.01.2024</t>
  </si>
  <si>
    <t>№ 2771303416423001262 от 30.11.2023</t>
  </si>
  <si>
    <t>№ 2772308492924000336 от 13.05.2024</t>
  </si>
  <si>
    <t>№ 2761013065223000597 от 04.12.2023</t>
  </si>
  <si>
    <t>№ 2500100753724000324
от 28.08.2024</t>
  </si>
  <si>
    <t>№ 2090101697624000098 от 08.04.2024</t>
  </si>
  <si>
    <t>№ 2502400148223000548
от 23.10.2023</t>
  </si>
  <si>
    <t>№ 2771608099424000057 от 11.03.2024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</si>
</sst>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0\ &quot;₽&quot;"/>
  </numFmts>
  <fonts count="2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u/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1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8"/>
      <name val="Arial"/>
      <family val="2"/>
      <charset val="204"/>
    </font>
    <font>
      <i/>
      <sz val="10"/>
      <color theme="1"/>
      <name val="Times New Roman"/>
      <family val="1"/>
      <charset val="204"/>
    </font>
    <font>
      <sz val="11"/>
      <color theme="1"/>
      <name val="Arial"/>
      <family val="2"/>
      <charset val="204"/>
    </font>
    <font>
      <b/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1"/>
      <color rgb="FFFF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4" fillId="0" borderId="0"/>
    <xf numFmtId="0" fontId="16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8">
    <xf numFmtId="0" fontId="0" fillId="0" borderId="0" xfId="0"/>
    <xf numFmtId="0" fontId="2" fillId="0" borderId="0" xfId="1" applyFont="1" applyFill="1" applyAlignment="1">
      <alignment wrapText="1"/>
    </xf>
    <xf numFmtId="0" fontId="2" fillId="0" borderId="0" xfId="1" applyFont="1" applyFill="1" applyAlignment="1">
      <alignment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0" xfId="1" applyFont="1" applyAlignment="1">
      <alignment vertical="center" wrapText="1"/>
    </xf>
    <xf numFmtId="4" fontId="2" fillId="0" borderId="0" xfId="1" applyNumberFormat="1" applyFont="1" applyAlignment="1">
      <alignment horizontal="center" vertical="center" wrapText="1"/>
    </xf>
    <xf numFmtId="0" fontId="2" fillId="0" borderId="4" xfId="1" applyFont="1" applyFill="1" applyBorder="1" applyAlignment="1">
      <alignment horizontal="center" vertical="center" wrapText="1"/>
    </xf>
    <xf numFmtId="0" fontId="6" fillId="0" borderId="0" xfId="3" applyFont="1" applyFill="1" applyBorder="1" applyAlignment="1">
      <alignment horizontal="center" vertical="center"/>
    </xf>
    <xf numFmtId="0" fontId="6" fillId="0" borderId="0" xfId="0" applyFont="1" applyFill="1" applyAlignment="1">
      <alignment wrapText="1"/>
    </xf>
    <xf numFmtId="0" fontId="2" fillId="0" borderId="0" xfId="5" applyFont="1" applyAlignment="1">
      <alignment wrapText="1"/>
    </xf>
    <xf numFmtId="0" fontId="2" fillId="0" borderId="0" xfId="1" applyFont="1" applyAlignment="1">
      <alignment wrapText="1"/>
    </xf>
    <xf numFmtId="0" fontId="15" fillId="2" borderId="0" xfId="1" applyFont="1" applyFill="1" applyAlignment="1">
      <alignment vertical="center"/>
    </xf>
    <xf numFmtId="0" fontId="17" fillId="0" borderId="0" xfId="0" applyFont="1" applyAlignment="1">
      <alignment wrapText="1"/>
    </xf>
    <xf numFmtId="0" fontId="17" fillId="0" borderId="6" xfId="0" applyFont="1" applyBorder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12" fillId="0" borderId="0" xfId="3" applyFont="1" applyFill="1" applyBorder="1" applyAlignment="1">
      <alignment vertical="top"/>
    </xf>
    <xf numFmtId="0" fontId="12" fillId="0" borderId="0" xfId="0" applyFont="1" applyFill="1" applyAlignment="1">
      <alignment wrapText="1"/>
    </xf>
    <xf numFmtId="0" fontId="12" fillId="0" borderId="0" xfId="3" applyFont="1" applyFill="1" applyBorder="1" applyAlignment="1">
      <alignment horizontal="left" vertical="top"/>
    </xf>
    <xf numFmtId="0" fontId="2" fillId="0" borderId="0" xfId="0" applyFont="1"/>
    <xf numFmtId="0" fontId="18" fillId="0" borderId="0" xfId="0" applyFont="1"/>
    <xf numFmtId="4" fontId="7" fillId="0" borderId="0" xfId="1" applyNumberFormat="1" applyFont="1" applyFill="1" applyBorder="1" applyAlignment="1">
      <alignment horizontal="right" vertical="center" wrapText="1"/>
    </xf>
    <xf numFmtId="3" fontId="18" fillId="4" borderId="1" xfId="0" applyNumberFormat="1" applyFont="1" applyFill="1" applyBorder="1" applyAlignment="1">
      <alignment horizontal="center" vertical="center"/>
    </xf>
    <xf numFmtId="43" fontId="18" fillId="4" borderId="1" xfId="7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43" fontId="19" fillId="4" borderId="1" xfId="0" applyNumberFormat="1" applyFont="1" applyFill="1" applyBorder="1" applyAlignment="1">
      <alignment horizontal="center" vertical="center"/>
    </xf>
    <xf numFmtId="3" fontId="20" fillId="3" borderId="1" xfId="0" applyNumberFormat="1" applyFont="1" applyFill="1" applyBorder="1" applyAlignment="1">
      <alignment horizontal="center" vertical="center"/>
    </xf>
    <xf numFmtId="43" fontId="20" fillId="3" borderId="1" xfId="7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3" fontId="19" fillId="3" borderId="1" xfId="0" applyNumberFormat="1" applyFont="1" applyFill="1" applyBorder="1" applyAlignment="1">
      <alignment horizontal="center" vertical="center"/>
    </xf>
    <xf numFmtId="43" fontId="19" fillId="3" borderId="1" xfId="0" applyNumberFormat="1" applyFont="1" applyFill="1" applyBorder="1" applyAlignment="1">
      <alignment horizontal="center" vertical="center"/>
    </xf>
    <xf numFmtId="3" fontId="18" fillId="5" borderId="1" xfId="0" applyNumberFormat="1" applyFont="1" applyFill="1" applyBorder="1" applyAlignment="1">
      <alignment horizontal="center" vertical="center"/>
    </xf>
    <xf numFmtId="43" fontId="18" fillId="5" borderId="1" xfId="7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43" fontId="19" fillId="5" borderId="1" xfId="0" applyNumberFormat="1" applyFont="1" applyFill="1" applyBorder="1" applyAlignment="1">
      <alignment horizontal="center" vertical="center"/>
    </xf>
    <xf numFmtId="3" fontId="19" fillId="5" borderId="1" xfId="0" applyNumberFormat="1" applyFont="1" applyFill="1" applyBorder="1" applyAlignment="1">
      <alignment horizontal="center" vertical="center"/>
    </xf>
    <xf numFmtId="0" fontId="18" fillId="0" borderId="14" xfId="0" applyFont="1" applyBorder="1"/>
    <xf numFmtId="0" fontId="18" fillId="0" borderId="15" xfId="0" applyFont="1" applyBorder="1"/>
    <xf numFmtId="0" fontId="21" fillId="0" borderId="1" xfId="6" applyFont="1" applyBorder="1" applyAlignment="1">
      <alignment vertical="center" wrapText="1"/>
    </xf>
    <xf numFmtId="0" fontId="15" fillId="2" borderId="0" xfId="0" applyFont="1" applyFill="1" applyAlignment="1">
      <alignment vertical="center"/>
    </xf>
    <xf numFmtId="0" fontId="4" fillId="0" borderId="0" xfId="1" applyFont="1" applyFill="1" applyAlignment="1">
      <alignment horizontal="center" vertical="center" wrapText="1"/>
    </xf>
    <xf numFmtId="0" fontId="6" fillId="0" borderId="0" xfId="1" applyFont="1" applyFill="1" applyAlignment="1">
      <alignment horizontal="center" vertical="center" wrapText="1"/>
    </xf>
    <xf numFmtId="0" fontId="18" fillId="0" borderId="0" xfId="1" applyFont="1" applyAlignment="1">
      <alignment wrapText="1"/>
    </xf>
    <xf numFmtId="0" fontId="2" fillId="0" borderId="0" xfId="1" applyFont="1" applyFill="1" applyBorder="1" applyAlignment="1">
      <alignment horizontal="left" vertical="center" wrapText="1"/>
    </xf>
    <xf numFmtId="0" fontId="12" fillId="0" borderId="0" xfId="6" applyFont="1" applyBorder="1"/>
    <xf numFmtId="0" fontId="19" fillId="0" borderId="0" xfId="1" applyFont="1" applyBorder="1" applyAlignment="1">
      <alignment horizontal="center" vertical="center" wrapText="1"/>
    </xf>
    <xf numFmtId="0" fontId="22" fillId="0" borderId="0" xfId="1" applyFont="1" applyBorder="1" applyAlignment="1">
      <alignment horizontal="center" vertical="center" wrapText="1"/>
    </xf>
    <xf numFmtId="2" fontId="23" fillId="0" borderId="0" xfId="8" applyNumberFormat="1" applyFont="1" applyBorder="1" applyAlignment="1">
      <alignment horizontal="center" vertical="center" wrapText="1"/>
    </xf>
    <xf numFmtId="4" fontId="23" fillId="0" borderId="0" xfId="4" applyNumberFormat="1" applyFont="1" applyBorder="1" applyAlignment="1">
      <alignment horizontal="center" vertical="center" wrapText="1"/>
    </xf>
    <xf numFmtId="4" fontId="10" fillId="0" borderId="1" xfId="1" applyNumberFormat="1" applyFont="1" applyBorder="1" applyAlignment="1">
      <alignment horizontal="center" vertical="center" wrapText="1"/>
    </xf>
    <xf numFmtId="4" fontId="12" fillId="0" borderId="1" xfId="4" applyNumberFormat="1" applyFont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 wrapText="1"/>
    </xf>
    <xf numFmtId="4" fontId="12" fillId="0" borderId="1" xfId="5" applyNumberFormat="1" applyFont="1" applyBorder="1" applyAlignment="1">
      <alignment horizontal="center" vertical="center" wrapText="1"/>
    </xf>
    <xf numFmtId="4" fontId="13" fillId="0" borderId="1" xfId="5" applyNumberFormat="1" applyFont="1" applyBorder="1" applyAlignment="1">
      <alignment horizontal="center" vertical="center" wrapText="1"/>
    </xf>
    <xf numFmtId="0" fontId="19" fillId="6" borderId="2" xfId="0" applyFont="1" applyFill="1" applyBorder="1" applyAlignment="1">
      <alignment horizontal="center" wrapText="1"/>
    </xf>
    <xf numFmtId="44" fontId="2" fillId="6" borderId="2" xfId="9" applyFont="1" applyFill="1" applyBorder="1"/>
    <xf numFmtId="0" fontId="2" fillId="0" borderId="0" xfId="0" applyFont="1" applyFill="1" applyBorder="1"/>
    <xf numFmtId="0" fontId="18" fillId="0" borderId="0" xfId="0" applyFont="1" applyFill="1" applyBorder="1"/>
    <xf numFmtId="0" fontId="19" fillId="0" borderId="0" xfId="0" applyFont="1" applyFill="1" applyBorder="1" applyAlignment="1">
      <alignment horizontal="center" wrapText="1"/>
    </xf>
    <xf numFmtId="44" fontId="2" fillId="0" borderId="0" xfId="9" applyFont="1" applyFill="1" applyBorder="1"/>
    <xf numFmtId="0" fontId="2" fillId="0" borderId="1" xfId="2" applyFont="1" applyBorder="1" applyAlignment="1">
      <alignment horizontal="center" vertical="center" wrapText="1"/>
    </xf>
    <xf numFmtId="0" fontId="19" fillId="0" borderId="1" xfId="1" applyFont="1" applyBorder="1" applyAlignment="1">
      <alignment horizontal="center" vertical="center" wrapText="1"/>
    </xf>
    <xf numFmtId="0" fontId="3" fillId="0" borderId="0" xfId="1" applyFont="1" applyFill="1" applyAlignment="1">
      <alignment horizontal="center" vertical="center" wrapText="1"/>
    </xf>
    <xf numFmtId="0" fontId="4" fillId="0" borderId="0" xfId="1" applyFont="1" applyFill="1" applyAlignment="1">
      <alignment horizontal="center" vertical="center" wrapText="1"/>
    </xf>
    <xf numFmtId="0" fontId="5" fillId="0" borderId="0" xfId="1" applyFont="1" applyFill="1" applyAlignment="1">
      <alignment horizontal="center" vertical="center" wrapText="1"/>
    </xf>
    <xf numFmtId="0" fontId="6" fillId="0" borderId="0" xfId="1" applyFont="1" applyFill="1" applyAlignment="1">
      <alignment horizontal="center" vertical="center" wrapText="1"/>
    </xf>
    <xf numFmtId="0" fontId="2" fillId="0" borderId="1" xfId="1" applyFont="1" applyFill="1" applyBorder="1" applyAlignment="1">
      <alignment horizontal="left" vertical="center" wrapText="1"/>
    </xf>
    <xf numFmtId="0" fontId="8" fillId="0" borderId="17" xfId="6" applyFont="1" applyBorder="1" applyAlignment="1">
      <alignment horizontal="center" vertical="center" wrapText="1"/>
    </xf>
    <xf numFmtId="0" fontId="12" fillId="0" borderId="3" xfId="6" applyFont="1" applyBorder="1" applyAlignment="1">
      <alignment horizontal="center"/>
    </xf>
    <xf numFmtId="0" fontId="2" fillId="0" borderId="13" xfId="0" applyFont="1" applyBorder="1" applyAlignment="1">
      <alignment horizontal="center" wrapText="1"/>
    </xf>
    <xf numFmtId="0" fontId="20" fillId="3" borderId="1" xfId="0" applyFont="1" applyFill="1" applyBorder="1" applyAlignment="1">
      <alignment horizontal="center" vertical="center" wrapText="1"/>
    </xf>
    <xf numFmtId="0" fontId="18" fillId="0" borderId="0" xfId="1" applyFont="1" applyAlignment="1">
      <alignment wrapText="1"/>
    </xf>
    <xf numFmtId="0" fontId="5" fillId="0" borderId="11" xfId="5" applyFont="1" applyFill="1" applyBorder="1" applyAlignment="1">
      <alignment horizontal="right" vertical="center" wrapText="1"/>
    </xf>
    <xf numFmtId="0" fontId="5" fillId="0" borderId="6" xfId="5" applyFont="1" applyFill="1" applyBorder="1" applyAlignment="1">
      <alignment horizontal="right" vertical="center" wrapText="1"/>
    </xf>
    <xf numFmtId="0" fontId="15" fillId="2" borderId="0" xfId="1" applyFont="1" applyFill="1" applyAlignment="1">
      <alignment horizontal="left" vertical="center" wrapText="1"/>
    </xf>
    <xf numFmtId="0" fontId="5" fillId="0" borderId="2" xfId="5" applyFont="1" applyFill="1" applyBorder="1" applyAlignment="1">
      <alignment horizontal="right" vertical="center" wrapText="1"/>
    </xf>
    <xf numFmtId="0" fontId="5" fillId="0" borderId="3" xfId="5" applyFont="1" applyFill="1" applyBorder="1" applyAlignment="1">
      <alignment horizontal="right" vertical="center" wrapText="1"/>
    </xf>
    <xf numFmtId="4" fontId="7" fillId="0" borderId="2" xfId="1" applyNumberFormat="1" applyFont="1" applyFill="1" applyBorder="1" applyAlignment="1">
      <alignment horizontal="right" vertical="center" wrapText="1"/>
    </xf>
    <xf numFmtId="4" fontId="7" fillId="0" borderId="3" xfId="1" applyNumberFormat="1" applyFont="1" applyFill="1" applyBorder="1" applyAlignment="1">
      <alignment horizontal="right" vertical="center" wrapText="1"/>
    </xf>
    <xf numFmtId="4" fontId="7" fillId="0" borderId="5" xfId="1" applyNumberFormat="1" applyFont="1" applyFill="1" applyBorder="1" applyAlignment="1">
      <alignment horizontal="right" vertical="center" wrapText="1"/>
    </xf>
    <xf numFmtId="0" fontId="18" fillId="0" borderId="1" xfId="1" applyFont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 wrapText="1"/>
    </xf>
    <xf numFmtId="4" fontId="7" fillId="0" borderId="11" xfId="1" applyNumberFormat="1" applyFont="1" applyFill="1" applyBorder="1" applyAlignment="1">
      <alignment horizontal="right" vertical="center" wrapText="1"/>
    </xf>
    <xf numFmtId="4" fontId="7" fillId="0" borderId="6" xfId="1" applyNumberFormat="1" applyFont="1" applyFill="1" applyBorder="1" applyAlignment="1">
      <alignment horizontal="right" vertical="center" wrapText="1"/>
    </xf>
    <xf numFmtId="4" fontId="7" fillId="0" borderId="12" xfId="1" applyNumberFormat="1" applyFont="1" applyFill="1" applyBorder="1" applyAlignment="1">
      <alignment horizontal="right" vertical="center" wrapText="1"/>
    </xf>
    <xf numFmtId="0" fontId="19" fillId="5" borderId="16" xfId="0" applyFont="1" applyFill="1" applyBorder="1" applyAlignment="1">
      <alignment horizontal="center" vertical="center" wrapText="1"/>
    </xf>
    <xf numFmtId="0" fontId="19" fillId="5" borderId="11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wrapText="1"/>
    </xf>
    <xf numFmtId="0" fontId="17" fillId="0" borderId="6" xfId="0" applyFont="1" applyBorder="1" applyAlignment="1">
      <alignment horizontal="left" wrapText="1"/>
    </xf>
    <xf numFmtId="164" fontId="18" fillId="0" borderId="7" xfId="0" applyNumberFormat="1" applyFont="1" applyBorder="1" applyAlignment="1">
      <alignment horizontal="right"/>
    </xf>
    <xf numFmtId="164" fontId="18" fillId="0" borderId="9" xfId="0" applyNumberFormat="1" applyFont="1" applyBorder="1" applyAlignment="1">
      <alignment horizontal="right"/>
    </xf>
    <xf numFmtId="164" fontId="18" fillId="0" borderId="8" xfId="0" applyNumberFormat="1" applyFont="1" applyBorder="1" applyAlignment="1">
      <alignment horizontal="right"/>
    </xf>
    <xf numFmtId="164" fontId="18" fillId="0" borderId="10" xfId="0" applyNumberFormat="1" applyFont="1" applyBorder="1" applyAlignment="1">
      <alignment horizontal="right"/>
    </xf>
    <xf numFmtId="0" fontId="19" fillId="4" borderId="16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9" fillId="0" borderId="0" xfId="0" applyFont="1"/>
    <xf numFmtId="43" fontId="2" fillId="0" borderId="0" xfId="1" applyNumberFormat="1" applyFont="1" applyAlignment="1">
      <alignment wrapText="1"/>
    </xf>
    <xf numFmtId="0" fontId="5" fillId="0" borderId="1" xfId="0" applyFont="1" applyFill="1" applyBorder="1" applyAlignment="1">
      <alignment horizontal="center" vertical="center" wrapText="1"/>
    </xf>
  </cellXfs>
  <cellStyles count="10">
    <cellStyle name="Денежный" xfId="9" builtinId="4"/>
    <cellStyle name="Обычный" xfId="0" builtinId="0"/>
    <cellStyle name="Обычный 17" xfId="4"/>
    <cellStyle name="Обычный 2" xfId="6"/>
    <cellStyle name="Обычный 2 2 2" xfId="3"/>
    <cellStyle name="Обычный 2 3 2" xfId="1"/>
    <cellStyle name="Обычный 3 2" xfId="5"/>
    <cellStyle name="Обычный 3 3 2" xfId="2"/>
    <cellStyle name="Процентный" xfId="8" builtinId="5"/>
    <cellStyle name="Финансовый" xfId="7" builtinId="3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D6FEE5"/>
      <color rgb="FFFBFDF9"/>
      <color rgb="FFFEB0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zakupki.gov.ru/epz/contract/contractCard/common-info.html?reestrNumber=2761013065223000597" TargetMode="External"/><Relationship Id="rId2" Type="http://schemas.openxmlformats.org/officeDocument/2006/relationships/hyperlink" Target="https://zakupki.gov.ru/epz/contract/contractCard/common-info.html?reestrNumber=2772308492924000336" TargetMode="External"/><Relationship Id="rId1" Type="http://schemas.openxmlformats.org/officeDocument/2006/relationships/hyperlink" Target="https://zakupki.gov.ru/epz/contract/contractCard/common-info.html?reestrNumber=2771609955424000753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zakupki.gov.ru/epz/contract/contractCard/common-info.html?reestrNumber=20901016976240000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2"/>
  <sheetViews>
    <sheetView tabSelected="1" zoomScaleNormal="100" zoomScaleSheetLayoutView="100" workbookViewId="0">
      <selection activeCell="B10" sqref="B10"/>
    </sheetView>
  </sheetViews>
  <sheetFormatPr defaultColWidth="9.140625" defaultRowHeight="15" x14ac:dyDescent="0.25"/>
  <cols>
    <col min="1" max="1" width="4.140625" style="10" customWidth="1"/>
    <col min="2" max="2" width="38.140625" style="4" customWidth="1"/>
    <col min="3" max="3" width="16.140625" style="10" customWidth="1"/>
    <col min="4" max="4" width="24.42578125" style="10" customWidth="1"/>
    <col min="5" max="5" width="24.7109375" style="10" bestFit="1" customWidth="1"/>
    <col min="6" max="6" width="23" style="10" bestFit="1" customWidth="1"/>
    <col min="7" max="7" width="13" style="10" customWidth="1"/>
    <col min="8" max="8" width="14.5703125" style="10" customWidth="1"/>
    <col min="9" max="9" width="14.140625" style="10" customWidth="1"/>
    <col min="10" max="10" width="14.140625" style="10" hidden="1" customWidth="1"/>
    <col min="11" max="11" width="10.28515625" style="19" hidden="1" customWidth="1"/>
    <col min="12" max="12" width="4.28515625" style="19" hidden="1" customWidth="1"/>
    <col min="13" max="13" width="10.5703125" style="19" hidden="1" customWidth="1"/>
    <col min="14" max="14" width="15" style="19" hidden="1" customWidth="1"/>
    <col min="15" max="15" width="10.5703125" style="19" hidden="1" customWidth="1"/>
    <col min="16" max="16" width="14" style="19" hidden="1" customWidth="1"/>
    <col min="17" max="17" width="10.5703125" style="19" hidden="1" customWidth="1"/>
    <col min="18" max="18" width="15" style="19" hidden="1" customWidth="1"/>
    <col min="19" max="16384" width="9.140625" style="19"/>
  </cols>
  <sheetData>
    <row r="1" spans="1:18" ht="18.75" customHeight="1" x14ac:dyDescent="0.25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40"/>
    </row>
    <row r="2" spans="1:18" ht="15.75" x14ac:dyDescent="0.25">
      <c r="A2" s="64" t="s">
        <v>36</v>
      </c>
      <c r="B2" s="65"/>
      <c r="C2" s="65"/>
      <c r="D2" s="65"/>
      <c r="E2" s="65"/>
      <c r="F2" s="65"/>
      <c r="G2" s="65"/>
      <c r="H2" s="65"/>
      <c r="I2" s="65"/>
      <c r="J2" s="41"/>
    </row>
    <row r="3" spans="1:18" ht="15" customHeight="1" x14ac:dyDescent="0.25">
      <c r="A3" s="66" t="s">
        <v>35</v>
      </c>
      <c r="B3" s="66"/>
      <c r="C3" s="66"/>
      <c r="D3" s="66"/>
      <c r="E3" s="66"/>
      <c r="F3" s="66"/>
      <c r="G3" s="66"/>
      <c r="H3" s="66"/>
      <c r="I3" s="66"/>
      <c r="J3" s="43"/>
    </row>
    <row r="4" spans="1:18" ht="15" customHeight="1" x14ac:dyDescent="0.25">
      <c r="A4" s="66" t="s">
        <v>1</v>
      </c>
      <c r="B4" s="66"/>
      <c r="C4" s="66"/>
      <c r="D4" s="66"/>
      <c r="E4" s="66"/>
      <c r="F4" s="66"/>
      <c r="G4" s="66"/>
      <c r="H4" s="66"/>
      <c r="I4" s="66"/>
      <c r="J4" s="43"/>
    </row>
    <row r="5" spans="1:18" ht="40.5" customHeight="1" x14ac:dyDescent="0.25">
      <c r="A5" s="67" t="s">
        <v>15</v>
      </c>
      <c r="B5" s="68"/>
      <c r="C5" s="68"/>
      <c r="D5" s="68"/>
      <c r="E5" s="68"/>
      <c r="F5" s="68"/>
      <c r="G5" s="68"/>
      <c r="H5" s="68"/>
      <c r="I5" s="68"/>
      <c r="J5" s="44"/>
      <c r="L5" s="56"/>
    </row>
    <row r="6" spans="1:18" s="20" customFormat="1" ht="32.25" customHeight="1" x14ac:dyDescent="0.2">
      <c r="A6" s="61" t="s">
        <v>2</v>
      </c>
      <c r="B6" s="61" t="s">
        <v>3</v>
      </c>
      <c r="C6" s="61" t="s">
        <v>4</v>
      </c>
      <c r="D6" s="61" t="s">
        <v>17</v>
      </c>
      <c r="E6" s="61"/>
      <c r="F6" s="61"/>
      <c r="G6" s="61" t="s">
        <v>5</v>
      </c>
      <c r="H6" s="61" t="s">
        <v>6</v>
      </c>
      <c r="I6" s="61" t="s">
        <v>7</v>
      </c>
      <c r="J6" s="45"/>
      <c r="L6" s="57"/>
      <c r="M6" s="70" t="s">
        <v>26</v>
      </c>
      <c r="N6" s="70" t="s">
        <v>23</v>
      </c>
      <c r="O6" s="93" t="s">
        <v>27</v>
      </c>
      <c r="P6" s="93" t="s">
        <v>28</v>
      </c>
      <c r="Q6" s="85" t="s">
        <v>29</v>
      </c>
      <c r="R6" s="85" t="s">
        <v>30</v>
      </c>
    </row>
    <row r="7" spans="1:18" s="20" customFormat="1" ht="63" customHeight="1" x14ac:dyDescent="0.2">
      <c r="A7" s="61"/>
      <c r="B7" s="61"/>
      <c r="C7" s="80"/>
      <c r="D7" s="97" t="s">
        <v>32</v>
      </c>
      <c r="E7" s="97" t="s">
        <v>8</v>
      </c>
      <c r="F7" s="97" t="s">
        <v>9</v>
      </c>
      <c r="G7" s="61"/>
      <c r="H7" s="61"/>
      <c r="I7" s="61"/>
      <c r="J7" s="46" t="s">
        <v>31</v>
      </c>
      <c r="K7" s="54" t="s">
        <v>33</v>
      </c>
      <c r="L7" s="58"/>
      <c r="M7" s="70"/>
      <c r="N7" s="70"/>
      <c r="O7" s="94"/>
      <c r="P7" s="94"/>
      <c r="Q7" s="86"/>
      <c r="R7" s="86"/>
    </row>
    <row r="8" spans="1:18" ht="15.75" x14ac:dyDescent="0.25">
      <c r="A8" s="81">
        <v>1</v>
      </c>
      <c r="B8" s="95" t="s">
        <v>37</v>
      </c>
      <c r="C8" s="60" t="s">
        <v>34</v>
      </c>
      <c r="D8" s="53">
        <v>1750</v>
      </c>
      <c r="E8" s="53">
        <v>2000</v>
      </c>
      <c r="F8" s="53">
        <v>1850</v>
      </c>
      <c r="G8" s="49">
        <f>ROUND(AVERAGE(D8:F8),2)</f>
        <v>1866.67</v>
      </c>
      <c r="H8" s="50">
        <f>G8</f>
        <v>1866.67</v>
      </c>
      <c r="I8" s="50">
        <f>((MAX(D8:F8)*100/MIN(D8:F8))-100)</f>
        <v>14.285714285714292</v>
      </c>
      <c r="J8" s="47"/>
      <c r="K8" s="55"/>
      <c r="L8" s="59"/>
      <c r="M8" s="26">
        <f>O8+Q8</f>
        <v>476</v>
      </c>
      <c r="N8" s="27">
        <f>M8*H8</f>
        <v>888534.92</v>
      </c>
      <c r="O8" s="22">
        <v>68</v>
      </c>
      <c r="P8" s="23">
        <f>O8*H8</f>
        <v>126933.56</v>
      </c>
      <c r="Q8" s="31">
        <v>408</v>
      </c>
      <c r="R8" s="32">
        <f>Q8*H8</f>
        <v>761601.36</v>
      </c>
    </row>
    <row r="9" spans="1:18" ht="30" x14ac:dyDescent="0.25">
      <c r="A9" s="81"/>
      <c r="B9" s="38" t="s">
        <v>16</v>
      </c>
      <c r="C9" s="60" t="s">
        <v>10</v>
      </c>
      <c r="D9" s="53" t="s">
        <v>39</v>
      </c>
      <c r="E9" s="52" t="s">
        <v>49</v>
      </c>
      <c r="F9" s="53" t="s">
        <v>42</v>
      </c>
      <c r="G9" s="49" t="s">
        <v>10</v>
      </c>
      <c r="H9" s="49" t="s">
        <v>10</v>
      </c>
      <c r="I9" s="50" t="s">
        <v>10</v>
      </c>
      <c r="J9" s="48"/>
      <c r="K9" s="55"/>
      <c r="L9" s="59"/>
      <c r="M9" s="28" t="s">
        <v>10</v>
      </c>
      <c r="N9" s="28" t="s">
        <v>10</v>
      </c>
      <c r="O9" s="24" t="s">
        <v>10</v>
      </c>
      <c r="P9" s="24" t="s">
        <v>10</v>
      </c>
      <c r="Q9" s="33" t="s">
        <v>10</v>
      </c>
      <c r="R9" s="33" t="s">
        <v>10</v>
      </c>
    </row>
    <row r="10" spans="1:18" ht="15.75" x14ac:dyDescent="0.25">
      <c r="A10" s="81">
        <v>2</v>
      </c>
      <c r="B10" s="95" t="s">
        <v>37</v>
      </c>
      <c r="C10" s="60" t="s">
        <v>34</v>
      </c>
      <c r="D10" s="53">
        <v>1451.31</v>
      </c>
      <c r="E10" s="53">
        <v>1451.31</v>
      </c>
      <c r="F10" s="53">
        <v>1750</v>
      </c>
      <c r="G10" s="49">
        <f>ROUND(AVERAGE(D10:F10),2)</f>
        <v>1550.87</v>
      </c>
      <c r="H10" s="50">
        <f>G10</f>
        <v>1550.87</v>
      </c>
      <c r="I10" s="50">
        <f>((MAX(D10:F10)*100/MIN(D10:F10))-100)</f>
        <v>20.580716731780257</v>
      </c>
      <c r="J10" s="48"/>
      <c r="K10" s="55"/>
      <c r="L10" s="59"/>
      <c r="M10" s="26">
        <f>O10+Q10</f>
        <v>938</v>
      </c>
      <c r="N10" s="27">
        <f>M10*H10</f>
        <v>1454716.0599999998</v>
      </c>
      <c r="O10" s="22">
        <v>134</v>
      </c>
      <c r="P10" s="23">
        <f>O10*H10</f>
        <v>207816.58</v>
      </c>
      <c r="Q10" s="31">
        <v>804</v>
      </c>
      <c r="R10" s="32">
        <f>Q10*H10</f>
        <v>1246899.48</v>
      </c>
    </row>
    <row r="11" spans="1:18" ht="30" x14ac:dyDescent="0.25">
      <c r="A11" s="81"/>
      <c r="B11" s="38" t="s">
        <v>16</v>
      </c>
      <c r="C11" s="60" t="s">
        <v>10</v>
      </c>
      <c r="D11" s="53" t="s">
        <v>38</v>
      </c>
      <c r="E11" s="52" t="s">
        <v>43</v>
      </c>
      <c r="F11" s="53" t="s">
        <v>42</v>
      </c>
      <c r="G11" s="49" t="s">
        <v>10</v>
      </c>
      <c r="H11" s="49" t="s">
        <v>10</v>
      </c>
      <c r="I11" s="50" t="s">
        <v>10</v>
      </c>
      <c r="J11" s="48"/>
      <c r="L11" s="56"/>
      <c r="M11" s="28" t="s">
        <v>10</v>
      </c>
      <c r="N11" s="28" t="s">
        <v>10</v>
      </c>
      <c r="O11" s="24" t="s">
        <v>10</v>
      </c>
      <c r="P11" s="24" t="s">
        <v>10</v>
      </c>
      <c r="Q11" s="33" t="s">
        <v>10</v>
      </c>
      <c r="R11" s="33" t="s">
        <v>10</v>
      </c>
    </row>
    <row r="12" spans="1:18" ht="15.75" x14ac:dyDescent="0.25">
      <c r="A12" s="81">
        <v>3</v>
      </c>
      <c r="B12" s="95" t="s">
        <v>37</v>
      </c>
      <c r="C12" s="60" t="s">
        <v>34</v>
      </c>
      <c r="D12" s="52">
        <v>2550.17</v>
      </c>
      <c r="E12" s="53">
        <v>2480</v>
      </c>
      <c r="F12" s="53">
        <v>2100</v>
      </c>
      <c r="G12" s="49">
        <f>ROUND(AVERAGE(D12:F12),2)</f>
        <v>2376.7199999999998</v>
      </c>
      <c r="H12" s="50">
        <f>G12</f>
        <v>2376.7199999999998</v>
      </c>
      <c r="I12" s="50">
        <f>((MAX(D12:F12)*100/MIN(D12:F12))-100)</f>
        <v>21.436666666666667</v>
      </c>
      <c r="J12" s="47"/>
      <c r="K12" s="55"/>
      <c r="L12" s="59"/>
      <c r="M12" s="26">
        <f>O12+Q12</f>
        <v>2</v>
      </c>
      <c r="N12" s="27">
        <f>M12*H12</f>
        <v>4753.4399999999996</v>
      </c>
      <c r="O12" s="22">
        <v>1</v>
      </c>
      <c r="P12" s="23">
        <f>O12*H12</f>
        <v>2376.7199999999998</v>
      </c>
      <c r="Q12" s="31">
        <v>1</v>
      </c>
      <c r="R12" s="32">
        <f>Q12*H12</f>
        <v>2376.7199999999998</v>
      </c>
    </row>
    <row r="13" spans="1:18" ht="30" x14ac:dyDescent="0.25">
      <c r="A13" s="81"/>
      <c r="B13" s="38" t="s">
        <v>16</v>
      </c>
      <c r="C13" s="60" t="s">
        <v>10</v>
      </c>
      <c r="D13" s="52" t="s">
        <v>40</v>
      </c>
      <c r="E13" s="52" t="s">
        <v>41</v>
      </c>
      <c r="F13" s="53" t="s">
        <v>42</v>
      </c>
      <c r="G13" s="49" t="s">
        <v>10</v>
      </c>
      <c r="H13" s="49" t="s">
        <v>10</v>
      </c>
      <c r="I13" s="50" t="s">
        <v>10</v>
      </c>
      <c r="J13" s="48"/>
      <c r="K13" s="55"/>
      <c r="L13" s="59"/>
      <c r="M13" s="28" t="s">
        <v>10</v>
      </c>
      <c r="N13" s="28" t="s">
        <v>10</v>
      </c>
      <c r="O13" s="24" t="s">
        <v>10</v>
      </c>
      <c r="P13" s="24" t="s">
        <v>10</v>
      </c>
      <c r="Q13" s="33" t="s">
        <v>10</v>
      </c>
      <c r="R13" s="33" t="s">
        <v>10</v>
      </c>
    </row>
    <row r="14" spans="1:18" ht="15.75" x14ac:dyDescent="0.25">
      <c r="A14" s="81">
        <v>4</v>
      </c>
      <c r="B14" s="95" t="s">
        <v>37</v>
      </c>
      <c r="C14" s="60" t="s">
        <v>34</v>
      </c>
      <c r="D14" s="53">
        <v>2643.23</v>
      </c>
      <c r="E14" s="53">
        <v>2921.6</v>
      </c>
      <c r="F14" s="53">
        <v>2950</v>
      </c>
      <c r="G14" s="49">
        <f>ROUND(AVERAGE(D14:F14),2)</f>
        <v>2838.28</v>
      </c>
      <c r="H14" s="50">
        <f>G14</f>
        <v>2838.28</v>
      </c>
      <c r="I14" s="50">
        <f>((MAX(D14:F14)*100/MIN(D14:F14))-100)</f>
        <v>11.605876143960231</v>
      </c>
      <c r="J14" s="48"/>
      <c r="K14" s="55"/>
      <c r="L14" s="59"/>
      <c r="M14" s="26">
        <f>O14+Q14</f>
        <v>1000</v>
      </c>
      <c r="N14" s="27">
        <f>M14*H14</f>
        <v>2838280</v>
      </c>
      <c r="O14" s="22">
        <v>100</v>
      </c>
      <c r="P14" s="23">
        <f>O14*H14</f>
        <v>283828</v>
      </c>
      <c r="Q14" s="31">
        <v>900</v>
      </c>
      <c r="R14" s="32">
        <f>Q14*H14</f>
        <v>2554452</v>
      </c>
    </row>
    <row r="15" spans="1:18" ht="30" x14ac:dyDescent="0.25">
      <c r="A15" s="81"/>
      <c r="B15" s="38" t="s">
        <v>16</v>
      </c>
      <c r="C15" s="60" t="s">
        <v>10</v>
      </c>
      <c r="D15" s="52" t="s">
        <v>48</v>
      </c>
      <c r="E15" s="52" t="s">
        <v>46</v>
      </c>
      <c r="F15" s="53" t="s">
        <v>42</v>
      </c>
      <c r="G15" s="49" t="s">
        <v>10</v>
      </c>
      <c r="H15" s="49" t="s">
        <v>10</v>
      </c>
      <c r="I15" s="50" t="s">
        <v>10</v>
      </c>
      <c r="J15" s="48"/>
      <c r="L15" s="56"/>
      <c r="M15" s="28" t="s">
        <v>10</v>
      </c>
      <c r="N15" s="28" t="s">
        <v>10</v>
      </c>
      <c r="O15" s="24" t="s">
        <v>10</v>
      </c>
      <c r="P15" s="24" t="s">
        <v>10</v>
      </c>
      <c r="Q15" s="33" t="s">
        <v>10</v>
      </c>
      <c r="R15" s="33" t="s">
        <v>10</v>
      </c>
    </row>
    <row r="16" spans="1:18" ht="15.75" x14ac:dyDescent="0.25">
      <c r="A16" s="81">
        <v>5</v>
      </c>
      <c r="B16" s="95" t="s">
        <v>37</v>
      </c>
      <c r="C16" s="51" t="s">
        <v>34</v>
      </c>
      <c r="D16" s="52">
        <v>2767.13</v>
      </c>
      <c r="E16" s="53">
        <v>2820</v>
      </c>
      <c r="F16" s="53">
        <v>2700</v>
      </c>
      <c r="G16" s="49">
        <f>ROUND(AVERAGE(D16:F16),2)</f>
        <v>2762.38</v>
      </c>
      <c r="H16" s="50">
        <f>G16</f>
        <v>2762.38</v>
      </c>
      <c r="I16" s="50">
        <f>((MAX(D16:F16)*100/MIN(D16:F16))-100)</f>
        <v>4.4444444444444429</v>
      </c>
      <c r="J16" s="47"/>
      <c r="K16" s="55"/>
      <c r="L16" s="59"/>
      <c r="M16" s="26">
        <f>O16+Q16</f>
        <v>7728</v>
      </c>
      <c r="N16" s="27">
        <f>M16*H16</f>
        <v>21347672.640000001</v>
      </c>
      <c r="O16" s="22">
        <v>1104</v>
      </c>
      <c r="P16" s="23">
        <f>O16*H16</f>
        <v>3049667.52</v>
      </c>
      <c r="Q16" s="31">
        <v>6624</v>
      </c>
      <c r="R16" s="32">
        <f>Q16*H16</f>
        <v>18298005.120000001</v>
      </c>
    </row>
    <row r="17" spans="1:18" ht="30" x14ac:dyDescent="0.25">
      <c r="A17" s="81"/>
      <c r="B17" s="38" t="s">
        <v>16</v>
      </c>
      <c r="C17" s="51" t="s">
        <v>10</v>
      </c>
      <c r="D17" s="52" t="s">
        <v>45</v>
      </c>
      <c r="E17" s="52" t="s">
        <v>44</v>
      </c>
      <c r="F17" s="53" t="s">
        <v>42</v>
      </c>
      <c r="G17" s="49" t="s">
        <v>10</v>
      </c>
      <c r="H17" s="49" t="s">
        <v>10</v>
      </c>
      <c r="I17" s="50" t="s">
        <v>10</v>
      </c>
      <c r="J17" s="48"/>
      <c r="K17" s="55"/>
      <c r="L17" s="59"/>
      <c r="M17" s="28" t="s">
        <v>10</v>
      </c>
      <c r="N17" s="28" t="s">
        <v>10</v>
      </c>
      <c r="O17" s="24" t="s">
        <v>10</v>
      </c>
      <c r="P17" s="24" t="s">
        <v>10</v>
      </c>
      <c r="Q17" s="33" t="s">
        <v>10</v>
      </c>
      <c r="R17" s="33" t="s">
        <v>10</v>
      </c>
    </row>
    <row r="18" spans="1:18" ht="15.75" x14ac:dyDescent="0.25">
      <c r="A18" s="81">
        <v>6</v>
      </c>
      <c r="B18" s="95" t="s">
        <v>37</v>
      </c>
      <c r="C18" s="51" t="s">
        <v>34</v>
      </c>
      <c r="D18" s="53">
        <v>4160.45</v>
      </c>
      <c r="E18" s="49">
        <v>4238.59</v>
      </c>
      <c r="F18" s="53">
        <v>4200</v>
      </c>
      <c r="G18" s="49">
        <f>ROUND(AVERAGE(D18:F18),2)</f>
        <v>4199.68</v>
      </c>
      <c r="H18" s="50">
        <f>G18</f>
        <v>4199.68</v>
      </c>
      <c r="I18" s="50">
        <f>((MAX(D18:F18)*100/MIN(D18:F18))-100)</f>
        <v>1.8781622180293027</v>
      </c>
      <c r="J18" s="48"/>
      <c r="K18" s="55"/>
      <c r="L18" s="59"/>
      <c r="M18" s="26">
        <f>O18+Q18</f>
        <v>2</v>
      </c>
      <c r="N18" s="27">
        <f>M18*H18</f>
        <v>8399.36</v>
      </c>
      <c r="O18" s="22">
        <v>1</v>
      </c>
      <c r="P18" s="23">
        <f>O18*H18</f>
        <v>4199.68</v>
      </c>
      <c r="Q18" s="31">
        <v>1</v>
      </c>
      <c r="R18" s="32">
        <f>Q18*H18</f>
        <v>4199.68</v>
      </c>
    </row>
    <row r="19" spans="1:18" ht="30" x14ac:dyDescent="0.25">
      <c r="A19" s="81"/>
      <c r="B19" s="38" t="s">
        <v>16</v>
      </c>
      <c r="C19" s="51" t="s">
        <v>10</v>
      </c>
      <c r="D19" s="52" t="s">
        <v>47</v>
      </c>
      <c r="E19" s="49" t="s">
        <v>50</v>
      </c>
      <c r="F19" s="53" t="s">
        <v>42</v>
      </c>
      <c r="G19" s="49" t="s">
        <v>10</v>
      </c>
      <c r="H19" s="49" t="s">
        <v>10</v>
      </c>
      <c r="I19" s="50" t="s">
        <v>10</v>
      </c>
      <c r="J19" s="48"/>
      <c r="L19" s="56"/>
      <c r="M19" s="28" t="s">
        <v>10</v>
      </c>
      <c r="N19" s="28" t="s">
        <v>10</v>
      </c>
      <c r="O19" s="24" t="s">
        <v>10</v>
      </c>
      <c r="P19" s="24" t="s">
        <v>10</v>
      </c>
      <c r="Q19" s="33" t="s">
        <v>10</v>
      </c>
      <c r="R19" s="33" t="s">
        <v>10</v>
      </c>
    </row>
    <row r="20" spans="1:18" x14ac:dyDescent="0.25">
      <c r="A20" s="6"/>
      <c r="B20" s="72" t="s">
        <v>11</v>
      </c>
      <c r="C20" s="73"/>
      <c r="D20" s="73"/>
      <c r="E20" s="73"/>
      <c r="F20" s="73"/>
      <c r="G20" s="82">
        <f>H16+H18+H14+H12+H10+H8</f>
        <v>15594.6</v>
      </c>
      <c r="H20" s="83"/>
      <c r="I20" s="84"/>
      <c r="J20" s="21"/>
      <c r="M20" s="29">
        <f>SUM(M8:M19)</f>
        <v>10146</v>
      </c>
      <c r="N20" s="30">
        <f>SUM(N8:N19)</f>
        <v>26542356.420000002</v>
      </c>
      <c r="O20" s="35">
        <f>SUM(O8:O19)</f>
        <v>1408</v>
      </c>
      <c r="P20" s="25">
        <f>SUM(P8:P19)</f>
        <v>3674822.06</v>
      </c>
      <c r="Q20" s="35">
        <f>SUM(Q8:Q19)</f>
        <v>8738</v>
      </c>
      <c r="R20" s="34">
        <f>SUM(R8:R19)</f>
        <v>22867534.359999999</v>
      </c>
    </row>
    <row r="21" spans="1:18" ht="15" customHeight="1" thickBot="1" x14ac:dyDescent="0.3">
      <c r="A21" s="3"/>
      <c r="B21" s="75" t="s">
        <v>12</v>
      </c>
      <c r="C21" s="76"/>
      <c r="D21" s="76"/>
      <c r="E21" s="76"/>
      <c r="F21" s="76"/>
      <c r="G21" s="77">
        <f>N20</f>
        <v>26542356.420000002</v>
      </c>
      <c r="H21" s="78"/>
      <c r="I21" s="79"/>
      <c r="J21" s="21"/>
      <c r="K21" s="10"/>
      <c r="L21" s="10"/>
      <c r="M21" s="10"/>
      <c r="N21" s="10"/>
      <c r="O21" s="10"/>
      <c r="P21" s="10"/>
      <c r="Q21" s="10"/>
      <c r="R21" s="10"/>
    </row>
    <row r="22" spans="1:18" x14ac:dyDescent="0.25">
      <c r="A22" s="1"/>
      <c r="B22" s="2"/>
      <c r="C22" s="1"/>
      <c r="D22" s="1"/>
      <c r="E22" s="1"/>
      <c r="F22" s="1"/>
      <c r="G22" s="1"/>
      <c r="H22" s="1"/>
      <c r="I22" s="1"/>
      <c r="J22" s="1"/>
      <c r="K22" s="10"/>
      <c r="L22" s="10"/>
      <c r="N22" s="36" t="s">
        <v>24</v>
      </c>
      <c r="O22" s="89">
        <f>P20</f>
        <v>3674822.06</v>
      </c>
      <c r="P22" s="90"/>
      <c r="Q22" s="10"/>
      <c r="R22" s="96"/>
    </row>
    <row r="23" spans="1:18" ht="15.75" thickBot="1" x14ac:dyDescent="0.3">
      <c r="B23" s="71" t="s">
        <v>13</v>
      </c>
      <c r="C23" s="71"/>
      <c r="D23" s="71"/>
      <c r="E23" s="71"/>
      <c r="F23" s="71"/>
      <c r="G23" s="71"/>
      <c r="H23" s="71"/>
      <c r="I23" s="71"/>
      <c r="J23" s="42"/>
      <c r="N23" s="37" t="s">
        <v>25</v>
      </c>
      <c r="O23" s="91">
        <f>R20</f>
        <v>22867534.359999999</v>
      </c>
      <c r="P23" s="92"/>
    </row>
    <row r="24" spans="1:18" x14ac:dyDescent="0.25">
      <c r="D24" s="5"/>
      <c r="E24" s="5"/>
    </row>
    <row r="25" spans="1:18" s="8" customFormat="1" ht="15.75" x14ac:dyDescent="0.25">
      <c r="A25" s="7"/>
      <c r="B25" s="16" t="s">
        <v>20</v>
      </c>
      <c r="C25" s="16"/>
      <c r="D25" s="16"/>
      <c r="E25" s="16"/>
      <c r="F25" s="16"/>
      <c r="G25" s="17"/>
    </row>
    <row r="26" spans="1:18" s="8" customFormat="1" ht="15.75" customHeight="1" x14ac:dyDescent="0.25">
      <c r="A26" s="7"/>
      <c r="B26" s="18" t="s">
        <v>18</v>
      </c>
      <c r="C26" s="18"/>
      <c r="D26" s="18"/>
      <c r="E26" s="18"/>
      <c r="F26" s="18"/>
      <c r="G26" s="17"/>
    </row>
    <row r="27" spans="1:18" ht="15.75" customHeight="1" x14ac:dyDescent="0.25">
      <c r="A27" s="9"/>
      <c r="B27" s="18" t="s">
        <v>19</v>
      </c>
      <c r="C27" s="18"/>
      <c r="D27" s="18"/>
      <c r="E27" s="18"/>
      <c r="F27" s="18"/>
      <c r="G27" s="9"/>
      <c r="H27" s="9"/>
      <c r="I27" s="9"/>
      <c r="J27" s="9"/>
      <c r="K27" s="9"/>
      <c r="L27" s="9"/>
    </row>
    <row r="28" spans="1:18" ht="32.25" customHeight="1" x14ac:dyDescent="0.25">
      <c r="A28" s="74" t="s">
        <v>14</v>
      </c>
      <c r="B28" s="74"/>
      <c r="C28" s="74"/>
      <c r="D28" s="74"/>
      <c r="E28" s="74"/>
      <c r="F28" s="74"/>
      <c r="G28" s="74"/>
      <c r="H28" s="74"/>
      <c r="I28" s="74"/>
      <c r="J28" s="11"/>
    </row>
    <row r="29" spans="1:18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</row>
    <row r="30" spans="1:18" ht="15.75" x14ac:dyDescent="0.25">
      <c r="A30" s="12"/>
      <c r="B30" s="13"/>
      <c r="C30" s="12"/>
      <c r="D30" s="87"/>
      <c r="E30" s="87"/>
      <c r="F30" s="12"/>
      <c r="G30" s="88"/>
      <c r="H30" s="88"/>
    </row>
    <row r="31" spans="1:18" x14ac:dyDescent="0.25">
      <c r="A31" s="14"/>
      <c r="B31" s="15" t="s">
        <v>21</v>
      </c>
      <c r="C31" s="14"/>
      <c r="D31" s="69"/>
      <c r="E31" s="69"/>
      <c r="F31" s="14"/>
      <c r="G31" s="69" t="s">
        <v>22</v>
      </c>
      <c r="H31" s="69"/>
    </row>
    <row r="32" spans="1:18" x14ac:dyDescent="0.25">
      <c r="A32" s="39"/>
      <c r="B32" s="39"/>
      <c r="C32" s="39"/>
      <c r="D32" s="39"/>
      <c r="E32" s="39"/>
      <c r="F32" s="39"/>
      <c r="G32" s="39"/>
      <c r="H32" s="39"/>
    </row>
  </sheetData>
  <mergeCells count="36">
    <mergeCell ref="A8:A9"/>
    <mergeCell ref="A10:A11"/>
    <mergeCell ref="A12:A13"/>
    <mergeCell ref="A14:A15"/>
    <mergeCell ref="G20:I20"/>
    <mergeCell ref="B6:B7"/>
    <mergeCell ref="R6:R7"/>
    <mergeCell ref="D30:E30"/>
    <mergeCell ref="G30:H30"/>
    <mergeCell ref="O22:P22"/>
    <mergeCell ref="O23:P23"/>
    <mergeCell ref="O6:O7"/>
    <mergeCell ref="P6:P7"/>
    <mergeCell ref="Q6:Q7"/>
    <mergeCell ref="D31:E31"/>
    <mergeCell ref="G31:H31"/>
    <mergeCell ref="I6:I7"/>
    <mergeCell ref="M6:M7"/>
    <mergeCell ref="N6:N7"/>
    <mergeCell ref="B23:I23"/>
    <mergeCell ref="B20:F20"/>
    <mergeCell ref="A28:I28"/>
    <mergeCell ref="B21:F21"/>
    <mergeCell ref="G21:I21"/>
    <mergeCell ref="H6:H7"/>
    <mergeCell ref="C6:C7"/>
    <mergeCell ref="D6:F6"/>
    <mergeCell ref="G6:G7"/>
    <mergeCell ref="A18:A19"/>
    <mergeCell ref="A16:A17"/>
    <mergeCell ref="A6:A7"/>
    <mergeCell ref="A1:I1"/>
    <mergeCell ref="A2:I2"/>
    <mergeCell ref="A3:I3"/>
    <mergeCell ref="A4:I4"/>
    <mergeCell ref="A5:I5"/>
  </mergeCells>
  <conditionalFormatting sqref="I16:J16 I18:J18">
    <cfRule type="cellIs" dxfId="7" priority="7" operator="greaterThan">
      <formula>25</formula>
    </cfRule>
  </conditionalFormatting>
  <conditionalFormatting sqref="B21">
    <cfRule type="duplicateValues" dxfId="6" priority="11"/>
  </conditionalFormatting>
  <conditionalFormatting sqref="B20">
    <cfRule type="duplicateValues" dxfId="5" priority="12"/>
  </conditionalFormatting>
  <conditionalFormatting sqref="I16 I18">
    <cfRule type="cellIs" dxfId="4" priority="5" operator="greaterThan">
      <formula>25</formula>
    </cfRule>
  </conditionalFormatting>
  <conditionalFormatting sqref="I8:J8 I10:J10">
    <cfRule type="cellIs" dxfId="3" priority="4" operator="greaterThan">
      <formula>25</formula>
    </cfRule>
  </conditionalFormatting>
  <conditionalFormatting sqref="I8 I10">
    <cfRule type="cellIs" dxfId="2" priority="3" operator="greaterThan">
      <formula>25</formula>
    </cfRule>
  </conditionalFormatting>
  <conditionalFormatting sqref="I12:J12 I14:J14">
    <cfRule type="cellIs" dxfId="1" priority="2" operator="greaterThan">
      <formula>25</formula>
    </cfRule>
  </conditionalFormatting>
  <conditionalFormatting sqref="I12 I14">
    <cfRule type="cellIs" dxfId="0" priority="1" operator="greaterThan">
      <formula>25</formula>
    </cfRule>
  </conditionalFormatting>
  <hyperlinks>
    <hyperlink ref="D11" r:id="rId1" display="https://zakupki.gov.ru/epz/contract/contractCard/common-info.html?reestrNumber=2771609955424000753"/>
    <hyperlink ref="D17" r:id="rId2" display="https://zakupki.gov.ru/epz/contract/contractCard/common-info.html?reestrNumber=2772308492924000336"/>
    <hyperlink ref="E15" r:id="rId3" display="https://zakupki.gov.ru/epz/contract/contractCard/common-info.html?reestrNumber=2761013065223000597"/>
    <hyperlink ref="D15" r:id="rId4" display="https://zakupki.gov.ru/epz/contract/contractCard/common-info.html?reestrNumber=2090101697624000098"/>
  </hyperlinks>
  <pageMargins left="0" right="0" top="0" bottom="0" header="0" footer="0"/>
  <pageSetup paperSize="9" scale="56" fitToHeight="0" orientation="landscape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НМЕ</vt:lpstr>
      <vt:lpstr>НМЕ!Область_печати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Часовенная Екатерина Алексеевна</dc:creator>
  <cp:lastModifiedBy>Моторняк Мария Юрьевна</cp:lastModifiedBy>
  <cp:lastPrinted>2024-10-23T08:24:58Z</cp:lastPrinted>
  <dcterms:created xsi:type="dcterms:W3CDTF">2021-10-06T10:05:19Z</dcterms:created>
  <dcterms:modified xsi:type="dcterms:W3CDTF">2024-11-05T16:08:09Z</dcterms:modified>
</cp:coreProperties>
</file>